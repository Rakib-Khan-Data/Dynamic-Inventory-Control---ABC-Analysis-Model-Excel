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E0F9245-D9BB-45C7-9C84-06CE97353D93}" xr6:coauthVersionLast="47" xr6:coauthVersionMax="47" xr10:uidLastSave="{00000000-0000-0000-0000-000000000000}"/>
  <bookViews>
    <workbookView xWindow="-108" yWindow="-108" windowWidth="23256" windowHeight="12456" xr2:uid="{7673C037-E56A-4DA4-919A-58D51CB41B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3" i="1" l="1"/>
  <c r="P13" i="1"/>
  <c r="P12" i="1"/>
  <c r="P11" i="1"/>
  <c r="Q6" i="1"/>
  <c r="Q5" i="1"/>
  <c r="Q4" i="1"/>
  <c r="E53" i="1"/>
  <c r="R6" i="1"/>
  <c r="R5" i="1"/>
  <c r="R4" i="1"/>
  <c r="P6" i="1"/>
  <c r="P5" i="1"/>
  <c r="P4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3" i="1"/>
  <c r="L22" i="1" l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3" i="1"/>
  <c r="K5" i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4" i="1"/>
  <c r="K3" i="1"/>
  <c r="J51" i="1"/>
  <c r="I11" i="1"/>
  <c r="J11" i="1" s="1"/>
  <c r="I44" i="1"/>
  <c r="J44" i="1" s="1"/>
  <c r="I43" i="1"/>
  <c r="J43" i="1" s="1"/>
  <c r="I27" i="1"/>
  <c r="J27" i="1" s="1"/>
  <c r="I50" i="1"/>
  <c r="J50" i="1" s="1"/>
  <c r="I38" i="1"/>
  <c r="J38" i="1" s="1"/>
  <c r="I41" i="1"/>
  <c r="J41" i="1" s="1"/>
  <c r="I15" i="1"/>
  <c r="J15" i="1" s="1"/>
  <c r="I32" i="1"/>
  <c r="J32" i="1" s="1"/>
  <c r="I46" i="1"/>
  <c r="J46" i="1" s="1"/>
  <c r="I25" i="1"/>
  <c r="J25" i="1" s="1"/>
  <c r="I47" i="1"/>
  <c r="J47" i="1" s="1"/>
  <c r="I30" i="1"/>
  <c r="J30" i="1" s="1"/>
  <c r="I6" i="1"/>
  <c r="J6" i="1" s="1"/>
  <c r="I35" i="1"/>
  <c r="J35" i="1" s="1"/>
  <c r="I51" i="1"/>
  <c r="I19" i="1"/>
  <c r="J19" i="1" s="1"/>
  <c r="I13" i="1"/>
  <c r="J13" i="1" s="1"/>
  <c r="I52" i="1"/>
  <c r="J52" i="1" s="1"/>
  <c r="E37" i="1"/>
  <c r="H6" i="1"/>
  <c r="E52" i="1"/>
  <c r="H20" i="1"/>
  <c r="I20" i="1" s="1"/>
  <c r="J20" i="1" s="1"/>
  <c r="H29" i="1"/>
  <c r="I29" i="1" s="1"/>
  <c r="J29" i="1" s="1"/>
  <c r="H8" i="1"/>
  <c r="I8" i="1" s="1"/>
  <c r="J8" i="1" s="1"/>
  <c r="H33" i="1"/>
  <c r="I33" i="1" s="1"/>
  <c r="J33" i="1" s="1"/>
  <c r="H14" i="1"/>
  <c r="I14" i="1" s="1"/>
  <c r="J14" i="1" s="1"/>
  <c r="H11" i="1"/>
  <c r="H44" i="1"/>
  <c r="H43" i="1"/>
  <c r="H18" i="1"/>
  <c r="I18" i="1" s="1"/>
  <c r="J18" i="1" s="1"/>
  <c r="H28" i="1"/>
  <c r="I28" i="1" s="1"/>
  <c r="J28" i="1" s="1"/>
  <c r="H37" i="1"/>
  <c r="I37" i="1" s="1"/>
  <c r="J37" i="1" s="1"/>
  <c r="H10" i="1"/>
  <c r="I10" i="1" s="1"/>
  <c r="J10" i="1" s="1"/>
  <c r="H12" i="1"/>
  <c r="I12" i="1" s="1"/>
  <c r="J12" i="1" s="1"/>
  <c r="H27" i="1"/>
  <c r="H50" i="1"/>
  <c r="H38" i="1"/>
  <c r="H34" i="1"/>
  <c r="I34" i="1" s="1"/>
  <c r="J34" i="1" s="1"/>
  <c r="H42" i="1"/>
  <c r="I42" i="1" s="1"/>
  <c r="J42" i="1" s="1"/>
  <c r="H49" i="1"/>
  <c r="I49" i="1" s="1"/>
  <c r="J49" i="1" s="1"/>
  <c r="H3" i="1"/>
  <c r="I3" i="1" s="1"/>
  <c r="J3" i="1" s="1"/>
  <c r="H9" i="1"/>
  <c r="I9" i="1" s="1"/>
  <c r="J9" i="1" s="1"/>
  <c r="H41" i="1"/>
  <c r="H15" i="1"/>
  <c r="H32" i="1"/>
  <c r="H23" i="1"/>
  <c r="I23" i="1" s="1"/>
  <c r="J23" i="1" s="1"/>
  <c r="H48" i="1"/>
  <c r="I48" i="1" s="1"/>
  <c r="J48" i="1" s="1"/>
  <c r="H5" i="1"/>
  <c r="I5" i="1" s="1"/>
  <c r="J5" i="1" s="1"/>
  <c r="H22" i="1"/>
  <c r="I22" i="1" s="1"/>
  <c r="J22" i="1" s="1"/>
  <c r="H17" i="1"/>
  <c r="I17" i="1" s="1"/>
  <c r="J17" i="1" s="1"/>
  <c r="H46" i="1"/>
  <c r="H25" i="1"/>
  <c r="H47" i="1"/>
  <c r="H7" i="1"/>
  <c r="I7" i="1" s="1"/>
  <c r="J7" i="1" s="1"/>
  <c r="H4" i="1"/>
  <c r="I4" i="1" s="1"/>
  <c r="J4" i="1" s="1"/>
  <c r="H21" i="1"/>
  <c r="I21" i="1" s="1"/>
  <c r="J21" i="1" s="1"/>
  <c r="H36" i="1"/>
  <c r="I36" i="1" s="1"/>
  <c r="J36" i="1" s="1"/>
  <c r="H40" i="1"/>
  <c r="I40" i="1" s="1"/>
  <c r="J40" i="1" s="1"/>
  <c r="H30" i="1"/>
  <c r="H35" i="1"/>
  <c r="H26" i="1"/>
  <c r="I26" i="1" s="1"/>
  <c r="J26" i="1" s="1"/>
  <c r="H39" i="1"/>
  <c r="I39" i="1" s="1"/>
  <c r="J39" i="1" s="1"/>
  <c r="H31" i="1"/>
  <c r="I31" i="1" s="1"/>
  <c r="J31" i="1" s="1"/>
  <c r="H24" i="1"/>
  <c r="I24" i="1" s="1"/>
  <c r="J24" i="1" s="1"/>
  <c r="H51" i="1"/>
  <c r="H19" i="1"/>
  <c r="H13" i="1"/>
  <c r="H52" i="1"/>
  <c r="H45" i="1"/>
  <c r="I45" i="1" s="1"/>
  <c r="J45" i="1" s="1"/>
  <c r="H16" i="1"/>
  <c r="I16" i="1" s="1"/>
  <c r="J16" i="1" s="1"/>
  <c r="E20" i="1"/>
  <c r="E29" i="1"/>
  <c r="E8" i="1"/>
  <c r="E33" i="1"/>
  <c r="E14" i="1"/>
  <c r="E11" i="1"/>
  <c r="E44" i="1"/>
  <c r="E43" i="1"/>
  <c r="E18" i="1"/>
  <c r="E28" i="1"/>
  <c r="E10" i="1"/>
  <c r="E12" i="1"/>
  <c r="E27" i="1"/>
  <c r="E50" i="1"/>
  <c r="E38" i="1"/>
  <c r="E34" i="1"/>
  <c r="E42" i="1"/>
  <c r="E49" i="1"/>
  <c r="E3" i="1"/>
  <c r="E9" i="1"/>
  <c r="E41" i="1"/>
  <c r="E15" i="1"/>
  <c r="E32" i="1"/>
  <c r="E23" i="1"/>
  <c r="E48" i="1"/>
  <c r="E5" i="1"/>
  <c r="E22" i="1"/>
  <c r="E17" i="1"/>
  <c r="E46" i="1"/>
  <c r="E25" i="1"/>
  <c r="E47" i="1"/>
  <c r="E7" i="1"/>
  <c r="E4" i="1"/>
  <c r="E21" i="1"/>
  <c r="E36" i="1"/>
  <c r="E40" i="1"/>
  <c r="E30" i="1"/>
  <c r="E6" i="1"/>
  <c r="E35" i="1"/>
  <c r="E26" i="1"/>
  <c r="E39" i="1"/>
  <c r="E31" i="1"/>
  <c r="E24" i="1"/>
  <c r="E51" i="1"/>
  <c r="E19" i="1"/>
  <c r="E13" i="1"/>
  <c r="E45" i="1"/>
  <c r="E16" i="1"/>
</calcChain>
</file>

<file path=xl/sharedStrings.xml><?xml version="1.0" encoding="utf-8"?>
<sst xmlns="http://schemas.openxmlformats.org/spreadsheetml/2006/main" count="134" uniqueCount="134">
  <si>
    <t>DYNAMIC INVENTORY CONTROL AND ABC ANALYSIS MODEL</t>
  </si>
  <si>
    <t>SKU Code</t>
  </si>
  <si>
    <t>Item Description</t>
  </si>
  <si>
    <t>Unit Cost ($)</t>
  </si>
  <si>
    <t>Annual Usage Quantity</t>
  </si>
  <si>
    <t>Total Annual Value</t>
  </si>
  <si>
    <t>Current Stock (Units)</t>
  </si>
  <si>
    <t>Lead Time (Days)</t>
  </si>
  <si>
    <t xml:space="preserve"> Daily Usage</t>
  </si>
  <si>
    <t>Reorder Point (ROP)</t>
  </si>
  <si>
    <t>Reorder Alert</t>
  </si>
  <si>
    <t>Cumulative Value ($)</t>
  </si>
  <si>
    <t>Cumulative %</t>
  </si>
  <si>
    <t>ABC Class</t>
  </si>
  <si>
    <t>SKUOO1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</si>
  <si>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</si>
  <si>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</si>
  <si>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</si>
  <si>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</si>
  <si>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</si>
  <si>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</si>
  <si>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</si>
  <si>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</si>
  <si>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</si>
  <si>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</si>
  <si>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</si>
  <si>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</si>
  <si>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</si>
  <si>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</si>
  <si>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</si>
  <si>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</si>
  <si>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</si>
  <si>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</si>
  <si>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</si>
  <si>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</si>
  <si>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</si>
  <si>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</si>
  <si>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</si>
  <si>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</si>
  <si>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</si>
  <si>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</si>
  <si>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</si>
  <si>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</si>
  <si>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</si>
  <si>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SKU031</t>
  </si>
  <si>
    <t>SKU032</t>
  </si>
  <si>
    <t>SKU033</t>
  </si>
  <si>
    <t>SKU034</t>
  </si>
  <si>
    <t>SKU035</t>
  </si>
  <si>
    <t>SKU036</t>
  </si>
  <si>
    <t>SKU037</t>
  </si>
  <si>
    <t>SKU038</t>
  </si>
  <si>
    <t>SKU039</t>
  </si>
  <si>
    <t>SKU040</t>
  </si>
  <si>
    <t>SKU041</t>
  </si>
  <si>
    <t>SKU042</t>
  </si>
  <si>
    <t>SKU043</t>
  </si>
  <si>
    <t>SKU044</t>
  </si>
  <si>
    <t>SKU045</t>
  </si>
  <si>
    <t>SKU046</t>
  </si>
  <si>
    <t>SKU047</t>
  </si>
  <si>
    <t>SKU048</t>
  </si>
  <si>
    <t>SKU049</t>
  </si>
  <si>
    <t>SKU050</t>
  </si>
  <si>
    <t xml:space="preserve">Industrial Motor </t>
  </si>
  <si>
    <t>Hydrualic Pump</t>
  </si>
  <si>
    <t>Gear Box</t>
  </si>
  <si>
    <t>Control Panel</t>
  </si>
  <si>
    <t>PLC Model</t>
  </si>
  <si>
    <t>Industrial Sensor</t>
  </si>
  <si>
    <t>VFD Drive</t>
  </si>
  <si>
    <t>Solinoid Valve</t>
  </si>
  <si>
    <t>Bearing Set</t>
  </si>
  <si>
    <t>Power Supply</t>
  </si>
  <si>
    <t>Cooling Fan</t>
  </si>
  <si>
    <t>Limit Switch</t>
  </si>
  <si>
    <t>Contactor</t>
  </si>
  <si>
    <t>Relay</t>
  </si>
  <si>
    <t>Terminal Block</t>
  </si>
  <si>
    <t>Cable (10mm)</t>
  </si>
  <si>
    <t>Cable (4mm)</t>
  </si>
  <si>
    <t>Fuse</t>
  </si>
  <si>
    <t>Metal Valve</t>
  </si>
  <si>
    <t>Plastic Switch</t>
  </si>
  <si>
    <t>Charger Cable</t>
  </si>
  <si>
    <t>Lithium Battery</t>
  </si>
  <si>
    <t>Steel Screw</t>
  </si>
  <si>
    <t>Adapter</t>
  </si>
  <si>
    <t>Spacer</t>
  </si>
  <si>
    <t>Ball Bearing</t>
  </si>
  <si>
    <t xml:space="preserve">Spul Gear </t>
  </si>
  <si>
    <t>Bevel  Gear</t>
  </si>
  <si>
    <t>Timing Belt</t>
  </si>
  <si>
    <t>Hex Bolt</t>
  </si>
  <si>
    <t>Web Cam</t>
  </si>
  <si>
    <t>LCD Panel</t>
  </si>
  <si>
    <t>OLED Panel</t>
  </si>
  <si>
    <t>Display Cable</t>
  </si>
  <si>
    <t>Sterio Speaker</t>
  </si>
  <si>
    <t>Audio Chip</t>
  </si>
  <si>
    <t xml:space="preserve">End Rings </t>
  </si>
  <si>
    <t>Field Coils</t>
  </si>
  <si>
    <t>Oil Seal</t>
  </si>
  <si>
    <t>Terminal Box</t>
  </si>
  <si>
    <t>DIN rail</t>
  </si>
  <si>
    <t>Two-Way Switch</t>
  </si>
  <si>
    <t>Locknut</t>
  </si>
  <si>
    <t>Box Cover</t>
  </si>
  <si>
    <t>Backplate</t>
  </si>
  <si>
    <t>Grounding Screw</t>
  </si>
  <si>
    <t>Motherboard</t>
  </si>
  <si>
    <t>Frame Light</t>
  </si>
  <si>
    <t>Back Cover</t>
  </si>
  <si>
    <t>Cable Clamp</t>
  </si>
  <si>
    <t>ABC SUMMARY</t>
  </si>
  <si>
    <t>Class</t>
  </si>
  <si>
    <t>Item</t>
  </si>
  <si>
    <t>% of Total Value</t>
  </si>
  <si>
    <t>Total Value ($)</t>
  </si>
  <si>
    <t>A (Top 80%)</t>
  </si>
  <si>
    <t>B (Next 15%)</t>
  </si>
  <si>
    <t>C (Bottom 5%)</t>
  </si>
  <si>
    <t>KEY METRICS</t>
  </si>
  <si>
    <t>Total SKU</t>
  </si>
  <si>
    <t>Total Invntory VALUE</t>
  </si>
  <si>
    <t>SKU To Reorder</t>
  </si>
  <si>
    <t>% SKU To Reorder</t>
  </si>
  <si>
    <t>LEGEND</t>
  </si>
  <si>
    <t>Class A (Top 80% Value)</t>
  </si>
  <si>
    <t>Class B (Next 15% Value)</t>
  </si>
  <si>
    <t>Class C (Bottom 5% Value)</t>
  </si>
  <si>
    <r>
      <rPr>
        <sz val="11"/>
        <color rgb="FFC00000"/>
        <rFont val="Calibri"/>
        <family val="2"/>
        <scheme val="minor"/>
      </rPr>
      <t xml:space="preserve">REORDER : </t>
    </r>
    <r>
      <rPr>
        <sz val="11"/>
        <color theme="1"/>
        <rFont val="Calibri"/>
        <family val="2"/>
        <scheme val="minor"/>
      </rPr>
      <t>Stock &lt;= ROP</t>
    </r>
  </si>
  <si>
    <t>OK: Stock &gt; ROP</t>
  </si>
  <si>
    <t>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</si>
</sst>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2" fontId="0" fillId="0" borderId="0" xfId="0" applyNumberFormat="1" applyAlignment="1">
      <alignment vertical="center" wrapText="1"/>
    </xf>
    <xf numFmtId="1" fontId="0" fillId="0" borderId="0" xfId="0" applyNumberFormat="1" applyAlignment="1">
      <alignment horizontal="center"/>
    </xf>
    <xf numFmtId="9" fontId="0" fillId="0" borderId="0" xfId="1" applyFont="1"/>
    <xf numFmtId="165" fontId="0" fillId="0" borderId="0" xfId="1" applyNumberFormat="1" applyFont="1"/>
    <xf numFmtId="10" fontId="0" fillId="0" borderId="0" xfId="1" applyNumberFormat="1" applyFont="1"/>
    <xf numFmtId="0" fontId="0" fillId="2" borderId="0" xfId="0" applyFill="1"/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5" borderId="0" xfId="0" applyFill="1"/>
    <xf numFmtId="0" fontId="5" fillId="5" borderId="0" xfId="0" applyFont="1" applyFill="1" applyAlignment="1">
      <alignment horizontal="left"/>
    </xf>
    <xf numFmtId="0" fontId="0" fillId="7" borderId="0" xfId="0" applyFill="1"/>
    <xf numFmtId="0" fontId="0" fillId="6" borderId="0" xfId="0" applyFill="1"/>
    <xf numFmtId="0" fontId="3" fillId="0" borderId="0" xfId="0" applyFont="1"/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6">
    <dxf>
      <fill>
        <patternFill>
          <bgColor rgb="FF66FF33"/>
        </patternFill>
      </fill>
    </dxf>
    <dxf>
      <fill>
        <patternFill>
          <bgColor rgb="FF99FF66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  <color rgb="FFFF3300"/>
      <color rgb="FF99FF66"/>
      <color rgb="FF518034"/>
      <color rgb="FF588B39"/>
      <color rgb="FF5A8E3A"/>
      <color rgb="FF4F7D33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A30C3-950B-48DA-B1D0-515F31DA5C30}">
  <dimension ref="A1:R53"/>
  <sheetViews>
    <sheetView tabSelected="1" workbookViewId="0">
      <selection activeCell="G56" sqref="G56"/>
    </sheetView>
  </sheetViews>
  <sheetFormatPr defaultRowHeight="14.4" x14ac:dyDescent="0.3"/>
  <cols>
    <col min="2" max="2" width="14.5546875" bestFit="1" customWidth="1"/>
    <col min="3" max="3" width="12" bestFit="1" customWidth="1"/>
    <col min="4" max="4" width="13.21875" customWidth="1"/>
    <col min="5" max="5" width="11.21875" customWidth="1"/>
    <col min="6" max="6" width="12.77734375" customWidth="1"/>
    <col min="7" max="7" width="10.6640625" customWidth="1"/>
    <col min="8" max="8" width="11.5546875" bestFit="1" customWidth="1"/>
    <col min="9" max="9" width="13.5546875" customWidth="1"/>
    <col min="11" max="11" width="10.33203125" customWidth="1"/>
    <col min="12" max="12" width="10.5546875" customWidth="1"/>
    <col min="13" max="13" width="8.21875" customWidth="1"/>
    <col min="14" max="14" width="4.33203125" customWidth="1"/>
    <col min="15" max="15" width="16.21875" customWidth="1"/>
    <col min="16" max="16" width="11" customWidth="1"/>
    <col min="17" max="17" width="14.44140625" bestFit="1" customWidth="1"/>
    <col min="18" max="18" width="12.21875" customWidth="1"/>
  </cols>
  <sheetData>
    <row r="1" spans="1:18" ht="24.6" customHeight="1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8" ht="27" customHeight="1" x14ac:dyDescent="0.3">
      <c r="A2" s="7" t="s">
        <v>1</v>
      </c>
      <c r="B2" s="7" t="s">
        <v>2</v>
      </c>
      <c r="C2" s="8" t="s">
        <v>3</v>
      </c>
      <c r="D2" s="9" t="s">
        <v>4</v>
      </c>
      <c r="E2" s="10" t="s">
        <v>5</v>
      </c>
      <c r="F2" s="10" t="s">
        <v>6</v>
      </c>
      <c r="G2" s="10" t="s">
        <v>7</v>
      </c>
      <c r="H2" s="7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O2" s="22" t="s">
        <v>114</v>
      </c>
      <c r="P2" s="22"/>
      <c r="Q2" s="22"/>
      <c r="R2" s="22"/>
    </row>
    <row r="3" spans="1:18" x14ac:dyDescent="0.3">
      <c r="A3" t="s">
        <v>34</v>
      </c>
      <c r="B3" t="s">
        <v>84</v>
      </c>
      <c r="C3">
        <v>1200</v>
      </c>
      <c r="D3">
        <v>2000</v>
      </c>
      <c r="E3">
        <f t="shared" ref="E3:E34" si="0">C3*D3</f>
        <v>2400000</v>
      </c>
      <c r="F3">
        <v>40</v>
      </c>
      <c r="G3">
        <v>9</v>
      </c>
      <c r="H3" s="1">
        <f t="shared" ref="H3:H34" si="1">D3/365</f>
        <v>5.4794520547945202</v>
      </c>
      <c r="I3" s="2">
        <f t="shared" ref="I3:I34" si="2">H3*G3</f>
        <v>49.315068493150683</v>
      </c>
      <c r="J3" t="str">
        <f t="shared" ref="J3:J34" si="3">IF(F3&lt;=I3,"REORDER","OK")</f>
        <v>REORDER</v>
      </c>
      <c r="K3">
        <f>E3</f>
        <v>2400000</v>
      </c>
      <c r="L3" s="5">
        <f>K3/$K$52</f>
        <v>8.7563757360828359E-2</v>
      </c>
      <c r="M3" t="str">
        <f>IF(L3&lt;=80%,"A",IF(L3&lt;=90%,"B","C"))</f>
        <v>A</v>
      </c>
      <c r="O3" s="12" t="s">
        <v>115</v>
      </c>
      <c r="P3" s="12" t="s">
        <v>116</v>
      </c>
      <c r="Q3" s="12" t="s">
        <v>117</v>
      </c>
      <c r="R3" s="12" t="s">
        <v>118</v>
      </c>
    </row>
    <row r="4" spans="1:18" x14ac:dyDescent="0.3">
      <c r="A4" t="s">
        <v>48</v>
      </c>
      <c r="B4" t="s">
        <v>98</v>
      </c>
      <c r="C4">
        <v>1050</v>
      </c>
      <c r="D4">
        <v>3000</v>
      </c>
      <c r="E4">
        <f t="shared" si="0"/>
        <v>3150000</v>
      </c>
      <c r="F4">
        <v>65</v>
      </c>
      <c r="G4">
        <v>9</v>
      </c>
      <c r="H4" s="1">
        <f t="shared" si="1"/>
        <v>8.2191780821917817</v>
      </c>
      <c r="I4" s="2">
        <f t="shared" si="2"/>
        <v>73.972602739726028</v>
      </c>
      <c r="J4" t="str">
        <f t="shared" si="3"/>
        <v>REORDER</v>
      </c>
      <c r="K4">
        <f>K3+E4</f>
        <v>5550000</v>
      </c>
      <c r="L4" s="5">
        <f t="shared" ref="L4:L52" si="4">K4/$K$52</f>
        <v>0.20249118889691556</v>
      </c>
      <c r="M4" t="str">
        <f t="shared" ref="M4:M52" si="5">IF(L4&lt;=80%,"A",IF(L4&lt;=90%,"B","C"))</f>
        <v>A</v>
      </c>
      <c r="O4" s="14" t="s">
        <v>119</v>
      </c>
      <c r="P4">
        <f>COUNTIF(M3:M52,M3)</f>
        <v>13</v>
      </c>
      <c r="Q4" s="4">
        <f>R4/E53</f>
        <v>0.79101085060893295</v>
      </c>
      <c r="R4">
        <f>SUMIF(M3:M52,M3,E3:E52)</f>
        <v>21680500</v>
      </c>
    </row>
    <row r="5" spans="1:18" x14ac:dyDescent="0.3">
      <c r="A5" t="s">
        <v>41</v>
      </c>
      <c r="B5" t="s">
        <v>91</v>
      </c>
      <c r="C5">
        <v>1000</v>
      </c>
      <c r="D5">
        <v>3000</v>
      </c>
      <c r="E5">
        <f t="shared" si="0"/>
        <v>3000000</v>
      </c>
      <c r="F5">
        <v>30</v>
      </c>
      <c r="G5">
        <v>6</v>
      </c>
      <c r="H5" s="1">
        <f t="shared" si="1"/>
        <v>8.2191780821917817</v>
      </c>
      <c r="I5" s="2">
        <f t="shared" si="2"/>
        <v>49.31506849315069</v>
      </c>
      <c r="J5" t="str">
        <f t="shared" si="3"/>
        <v>REORDER</v>
      </c>
      <c r="K5">
        <f t="shared" ref="K5:K52" si="6">K4+E5</f>
        <v>8550000</v>
      </c>
      <c r="L5" s="5">
        <f t="shared" si="4"/>
        <v>0.311945885597951</v>
      </c>
      <c r="M5" t="str">
        <f t="shared" si="5"/>
        <v>A</v>
      </c>
      <c r="O5" s="15" t="s">
        <v>120</v>
      </c>
      <c r="P5">
        <f>COUNTIF(M4:M53,M16)</f>
        <v>8</v>
      </c>
      <c r="Q5" s="4">
        <f>R5/E53</f>
        <v>0.10379953737148194</v>
      </c>
      <c r="R5">
        <f>SUMIF(M3:M52,M16,E3:E52)</f>
        <v>2845000</v>
      </c>
    </row>
    <row r="6" spans="1:18" x14ac:dyDescent="0.3">
      <c r="A6" t="s">
        <v>53</v>
      </c>
      <c r="B6" t="s">
        <v>103</v>
      </c>
      <c r="C6">
        <v>1150</v>
      </c>
      <c r="D6">
        <v>2200</v>
      </c>
      <c r="E6">
        <f t="shared" si="0"/>
        <v>2530000</v>
      </c>
      <c r="F6">
        <v>42</v>
      </c>
      <c r="G6">
        <v>2</v>
      </c>
      <c r="H6" s="1">
        <f t="shared" si="1"/>
        <v>6.0273972602739727</v>
      </c>
      <c r="I6" s="2">
        <f t="shared" si="2"/>
        <v>12.054794520547945</v>
      </c>
      <c r="J6" t="str">
        <f t="shared" si="3"/>
        <v>OK</v>
      </c>
      <c r="K6">
        <f t="shared" si="6"/>
        <v>11080000</v>
      </c>
      <c r="L6" s="5">
        <f t="shared" si="4"/>
        <v>0.40425267981582425</v>
      </c>
      <c r="M6" t="str">
        <f t="shared" si="5"/>
        <v>A</v>
      </c>
      <c r="O6" s="6" t="s">
        <v>121</v>
      </c>
      <c r="P6">
        <f>COUNTIF(M5:M54,M24)</f>
        <v>29</v>
      </c>
      <c r="Q6" s="4">
        <f>R6/E53</f>
        <v>0.1051896120195851</v>
      </c>
      <c r="R6">
        <f>SUMIF(M3:M52,M24,E3:E52)</f>
        <v>2883100</v>
      </c>
    </row>
    <row r="7" spans="1:18" x14ac:dyDescent="0.3">
      <c r="A7" t="s">
        <v>47</v>
      </c>
      <c r="B7" t="s">
        <v>97</v>
      </c>
      <c r="C7">
        <v>1300</v>
      </c>
      <c r="D7">
        <v>1550</v>
      </c>
      <c r="E7">
        <f t="shared" si="0"/>
        <v>2015000</v>
      </c>
      <c r="F7">
        <v>25</v>
      </c>
      <c r="G7">
        <v>4</v>
      </c>
      <c r="H7" s="1">
        <f t="shared" si="1"/>
        <v>4.2465753424657535</v>
      </c>
      <c r="I7" s="2">
        <f t="shared" si="2"/>
        <v>16.986301369863014</v>
      </c>
      <c r="J7" t="str">
        <f t="shared" si="3"/>
        <v>OK</v>
      </c>
      <c r="K7">
        <f t="shared" si="6"/>
        <v>13095000</v>
      </c>
      <c r="L7" s="5">
        <f t="shared" si="4"/>
        <v>0.47776975110001968</v>
      </c>
      <c r="M7" t="str">
        <f t="shared" si="5"/>
        <v>A</v>
      </c>
    </row>
    <row r="8" spans="1:18" x14ac:dyDescent="0.3">
      <c r="A8" t="s">
        <v>17</v>
      </c>
      <c r="B8" t="s">
        <v>67</v>
      </c>
      <c r="C8">
        <v>500</v>
      </c>
      <c r="D8">
        <v>4000</v>
      </c>
      <c r="E8">
        <f t="shared" si="0"/>
        <v>2000000</v>
      </c>
      <c r="F8">
        <v>25</v>
      </c>
      <c r="G8">
        <v>7</v>
      </c>
      <c r="H8" s="1">
        <f t="shared" si="1"/>
        <v>10.95890410958904</v>
      </c>
      <c r="I8" s="2">
        <f t="shared" si="2"/>
        <v>76.712328767123282</v>
      </c>
      <c r="J8" t="str">
        <f t="shared" si="3"/>
        <v>REORDER</v>
      </c>
      <c r="K8">
        <f t="shared" si="6"/>
        <v>15095000</v>
      </c>
      <c r="L8" s="5">
        <f t="shared" si="4"/>
        <v>0.55073954890070997</v>
      </c>
      <c r="M8" t="str">
        <f t="shared" si="5"/>
        <v>A</v>
      </c>
    </row>
    <row r="9" spans="1:18" x14ac:dyDescent="0.3">
      <c r="A9" t="s">
        <v>35</v>
      </c>
      <c r="B9" t="s">
        <v>85</v>
      </c>
      <c r="C9">
        <v>930</v>
      </c>
      <c r="D9">
        <v>2000</v>
      </c>
      <c r="E9">
        <f t="shared" si="0"/>
        <v>1860000</v>
      </c>
      <c r="F9">
        <v>19</v>
      </c>
      <c r="G9">
        <v>6</v>
      </c>
      <c r="H9" s="1">
        <f t="shared" si="1"/>
        <v>5.4794520547945202</v>
      </c>
      <c r="I9" s="2">
        <f t="shared" si="2"/>
        <v>32.87671232876712</v>
      </c>
      <c r="J9" t="str">
        <f t="shared" si="3"/>
        <v>REORDER</v>
      </c>
      <c r="K9">
        <f t="shared" si="6"/>
        <v>16955000</v>
      </c>
      <c r="L9" s="5">
        <f t="shared" si="4"/>
        <v>0.61860146085535195</v>
      </c>
      <c r="M9" t="str">
        <f t="shared" si="5"/>
        <v>A</v>
      </c>
      <c r="O9" s="23" t="s">
        <v>122</v>
      </c>
      <c r="P9" s="23"/>
    </row>
    <row r="10" spans="1:18" ht="12" customHeight="1" x14ac:dyDescent="0.3">
      <c r="A10" t="s">
        <v>26</v>
      </c>
      <c r="B10" t="s">
        <v>76</v>
      </c>
      <c r="C10">
        <v>900</v>
      </c>
      <c r="D10">
        <v>1500</v>
      </c>
      <c r="E10">
        <f t="shared" si="0"/>
        <v>1350000</v>
      </c>
      <c r="F10">
        <v>18</v>
      </c>
      <c r="G10">
        <v>2</v>
      </c>
      <c r="H10" s="1">
        <f t="shared" si="1"/>
        <v>4.1095890410958908</v>
      </c>
      <c r="I10" s="2">
        <f t="shared" si="2"/>
        <v>8.2191780821917817</v>
      </c>
      <c r="J10" t="str">
        <f t="shared" si="3"/>
        <v>OK</v>
      </c>
      <c r="K10">
        <f t="shared" si="6"/>
        <v>18305000</v>
      </c>
      <c r="L10" s="5">
        <f t="shared" si="4"/>
        <v>0.66785607437081795</v>
      </c>
      <c r="M10" t="str">
        <f t="shared" si="5"/>
        <v>A</v>
      </c>
      <c r="O10" s="12" t="s">
        <v>123</v>
      </c>
      <c r="P10">
        <v>50</v>
      </c>
    </row>
    <row r="11" spans="1:18" ht="15.6" customHeight="1" x14ac:dyDescent="0.3">
      <c r="A11" t="s">
        <v>20</v>
      </c>
      <c r="B11" t="s">
        <v>70</v>
      </c>
      <c r="C11">
        <v>280</v>
      </c>
      <c r="D11">
        <v>3000</v>
      </c>
      <c r="E11">
        <f t="shared" si="0"/>
        <v>840000</v>
      </c>
      <c r="F11">
        <v>44</v>
      </c>
      <c r="G11">
        <v>9</v>
      </c>
      <c r="H11" s="1">
        <f t="shared" si="1"/>
        <v>8.2191780821917817</v>
      </c>
      <c r="I11" s="2">
        <f t="shared" si="2"/>
        <v>73.972602739726028</v>
      </c>
      <c r="J11" t="str">
        <f t="shared" si="3"/>
        <v>REORDER</v>
      </c>
      <c r="K11">
        <f t="shared" si="6"/>
        <v>19145000</v>
      </c>
      <c r="L11" s="5">
        <f t="shared" si="4"/>
        <v>0.69850338944710788</v>
      </c>
      <c r="M11" t="str">
        <f t="shared" si="5"/>
        <v>A</v>
      </c>
      <c r="O11" s="13" t="s">
        <v>124</v>
      </c>
      <c r="P11">
        <f>E53</f>
        <v>27408600</v>
      </c>
    </row>
    <row r="12" spans="1:18" x14ac:dyDescent="0.3">
      <c r="A12" t="s">
        <v>27</v>
      </c>
      <c r="B12" t="s">
        <v>77</v>
      </c>
      <c r="C12">
        <v>690</v>
      </c>
      <c r="D12">
        <v>1200</v>
      </c>
      <c r="E12">
        <f t="shared" si="0"/>
        <v>828000</v>
      </c>
      <c r="F12">
        <v>22</v>
      </c>
      <c r="G12">
        <v>4</v>
      </c>
      <c r="H12" s="1">
        <f t="shared" si="1"/>
        <v>3.2876712328767121</v>
      </c>
      <c r="I12" s="2">
        <f t="shared" si="2"/>
        <v>13.150684931506849</v>
      </c>
      <c r="J12" t="str">
        <f t="shared" si="3"/>
        <v>OK</v>
      </c>
      <c r="K12">
        <f t="shared" si="6"/>
        <v>19973000</v>
      </c>
      <c r="L12" s="5">
        <f t="shared" si="4"/>
        <v>0.72871288573659365</v>
      </c>
      <c r="M12" t="str">
        <f t="shared" si="5"/>
        <v>A</v>
      </c>
      <c r="O12" s="12" t="s">
        <v>125</v>
      </c>
      <c r="P12">
        <f>COUNTIF(J3:J52,J3)</f>
        <v>17</v>
      </c>
    </row>
    <row r="13" spans="1:18" x14ac:dyDescent="0.3">
      <c r="A13" t="s">
        <v>61</v>
      </c>
      <c r="B13" t="s">
        <v>111</v>
      </c>
      <c r="C13">
        <v>155</v>
      </c>
      <c r="D13">
        <v>4000</v>
      </c>
      <c r="E13">
        <f t="shared" si="0"/>
        <v>620000</v>
      </c>
      <c r="F13">
        <v>47</v>
      </c>
      <c r="G13">
        <v>8</v>
      </c>
      <c r="H13" s="1">
        <f t="shared" si="1"/>
        <v>10.95890410958904</v>
      </c>
      <c r="I13" s="2">
        <f t="shared" si="2"/>
        <v>87.671232876712324</v>
      </c>
      <c r="J13" t="str">
        <f t="shared" si="3"/>
        <v>REORDER</v>
      </c>
      <c r="K13">
        <f t="shared" si="6"/>
        <v>20593000</v>
      </c>
      <c r="L13" s="5">
        <f t="shared" si="4"/>
        <v>0.75133352305480761</v>
      </c>
      <c r="M13" t="str">
        <f t="shared" si="5"/>
        <v>A</v>
      </c>
      <c r="O13" s="12" t="s">
        <v>126</v>
      </c>
      <c r="P13" s="3">
        <f>P12/50</f>
        <v>0.34</v>
      </c>
    </row>
    <row r="14" spans="1:18" x14ac:dyDescent="0.3">
      <c r="A14" t="s">
        <v>19</v>
      </c>
      <c r="B14" t="s">
        <v>69</v>
      </c>
      <c r="C14">
        <v>800</v>
      </c>
      <c r="D14">
        <v>750</v>
      </c>
      <c r="E14">
        <f t="shared" si="0"/>
        <v>600000</v>
      </c>
      <c r="F14">
        <v>52</v>
      </c>
      <c r="G14">
        <v>4</v>
      </c>
      <c r="H14" s="1">
        <f t="shared" si="1"/>
        <v>2.0547945205479454</v>
      </c>
      <c r="I14" s="2">
        <f t="shared" si="2"/>
        <v>8.2191780821917817</v>
      </c>
      <c r="J14" t="str">
        <f t="shared" si="3"/>
        <v>OK</v>
      </c>
      <c r="K14">
        <f t="shared" si="6"/>
        <v>21193000</v>
      </c>
      <c r="L14" s="5">
        <f t="shared" si="4"/>
        <v>0.77322446239501474</v>
      </c>
      <c r="M14" t="str">
        <f t="shared" si="5"/>
        <v>A</v>
      </c>
    </row>
    <row r="15" spans="1:18" x14ac:dyDescent="0.3">
      <c r="A15" t="s">
        <v>37</v>
      </c>
      <c r="B15" t="s">
        <v>87</v>
      </c>
      <c r="C15">
        <v>650</v>
      </c>
      <c r="D15">
        <v>750</v>
      </c>
      <c r="E15">
        <f t="shared" si="0"/>
        <v>487500</v>
      </c>
      <c r="F15">
        <v>8</v>
      </c>
      <c r="G15">
        <v>2</v>
      </c>
      <c r="H15" s="1">
        <f t="shared" si="1"/>
        <v>2.0547945205479454</v>
      </c>
      <c r="I15" s="2">
        <f t="shared" si="2"/>
        <v>4.1095890410958908</v>
      </c>
      <c r="J15" t="str">
        <f t="shared" si="3"/>
        <v>OK</v>
      </c>
      <c r="K15">
        <f t="shared" si="6"/>
        <v>21680500</v>
      </c>
      <c r="L15" s="5">
        <f t="shared" si="4"/>
        <v>0.79101085060893295</v>
      </c>
      <c r="M15" t="str">
        <f t="shared" si="5"/>
        <v>A</v>
      </c>
    </row>
    <row r="16" spans="1:18" x14ac:dyDescent="0.3">
      <c r="A16" t="s">
        <v>14</v>
      </c>
      <c r="B16" t="s">
        <v>64</v>
      </c>
      <c r="C16">
        <v>400</v>
      </c>
      <c r="D16">
        <v>1200</v>
      </c>
      <c r="E16">
        <f t="shared" si="0"/>
        <v>480000</v>
      </c>
      <c r="F16">
        <v>35</v>
      </c>
      <c r="G16">
        <v>4</v>
      </c>
      <c r="H16" s="1">
        <f t="shared" si="1"/>
        <v>3.2876712328767121</v>
      </c>
      <c r="I16" s="2">
        <f t="shared" si="2"/>
        <v>13.150684931506849</v>
      </c>
      <c r="J16" t="str">
        <f t="shared" si="3"/>
        <v>OK</v>
      </c>
      <c r="K16">
        <f t="shared" si="6"/>
        <v>22160500</v>
      </c>
      <c r="L16" s="5">
        <f t="shared" si="4"/>
        <v>0.80852360208109864</v>
      </c>
      <c r="M16" t="str">
        <f t="shared" si="5"/>
        <v>B</v>
      </c>
    </row>
    <row r="17" spans="1:16" x14ac:dyDescent="0.3">
      <c r="A17" t="s">
        <v>43</v>
      </c>
      <c r="B17" t="s">
        <v>93</v>
      </c>
      <c r="C17">
        <v>420</v>
      </c>
      <c r="D17">
        <v>1000</v>
      </c>
      <c r="E17">
        <f t="shared" si="0"/>
        <v>420000</v>
      </c>
      <c r="F17">
        <v>10</v>
      </c>
      <c r="G17">
        <v>3</v>
      </c>
      <c r="H17" s="1">
        <f t="shared" si="1"/>
        <v>2.7397260273972601</v>
      </c>
      <c r="I17" s="2">
        <f t="shared" si="2"/>
        <v>8.2191780821917799</v>
      </c>
      <c r="J17" t="str">
        <f t="shared" si="3"/>
        <v>OK</v>
      </c>
      <c r="K17">
        <f t="shared" si="6"/>
        <v>22580500</v>
      </c>
      <c r="L17" s="5">
        <f t="shared" si="4"/>
        <v>0.82384725961924354</v>
      </c>
      <c r="M17" t="str">
        <f t="shared" si="5"/>
        <v>B</v>
      </c>
      <c r="O17" s="23" t="s">
        <v>127</v>
      </c>
      <c r="P17" s="23"/>
    </row>
    <row r="18" spans="1:16" x14ac:dyDescent="0.3">
      <c r="A18" t="s">
        <v>23</v>
      </c>
      <c r="B18" t="s">
        <v>73</v>
      </c>
      <c r="C18">
        <v>750</v>
      </c>
      <c r="D18">
        <v>500</v>
      </c>
      <c r="E18">
        <f t="shared" si="0"/>
        <v>375000</v>
      </c>
      <c r="F18">
        <v>19</v>
      </c>
      <c r="G18">
        <v>5</v>
      </c>
      <c r="H18" s="1">
        <f t="shared" si="1"/>
        <v>1.3698630136986301</v>
      </c>
      <c r="I18" s="2">
        <f t="shared" si="2"/>
        <v>6.8493150684931505</v>
      </c>
      <c r="J18" t="str">
        <f t="shared" si="3"/>
        <v>OK</v>
      </c>
      <c r="K18">
        <f t="shared" si="6"/>
        <v>22955500</v>
      </c>
      <c r="L18" s="5">
        <f t="shared" si="4"/>
        <v>0.83752909670687303</v>
      </c>
      <c r="M18" t="str">
        <f t="shared" si="5"/>
        <v>B</v>
      </c>
      <c r="O18" s="25" t="s">
        <v>128</v>
      </c>
      <c r="P18" s="25"/>
    </row>
    <row r="19" spans="1:16" x14ac:dyDescent="0.3">
      <c r="A19" t="s">
        <v>60</v>
      </c>
      <c r="B19" t="s">
        <v>110</v>
      </c>
      <c r="C19">
        <v>700</v>
      </c>
      <c r="D19">
        <v>500</v>
      </c>
      <c r="E19">
        <f t="shared" si="0"/>
        <v>350000</v>
      </c>
      <c r="F19">
        <v>30</v>
      </c>
      <c r="G19">
        <v>5</v>
      </c>
      <c r="H19" s="1">
        <f t="shared" si="1"/>
        <v>1.3698630136986301</v>
      </c>
      <c r="I19" s="2">
        <f t="shared" si="2"/>
        <v>6.8493150684931505</v>
      </c>
      <c r="J19" t="str">
        <f t="shared" si="3"/>
        <v>OK</v>
      </c>
      <c r="K19">
        <f t="shared" si="6"/>
        <v>23305500</v>
      </c>
      <c r="L19" s="5">
        <f t="shared" si="4"/>
        <v>0.85029881132199381</v>
      </c>
      <c r="M19" t="str">
        <f t="shared" si="5"/>
        <v>B</v>
      </c>
      <c r="O19" s="24" t="s">
        <v>129</v>
      </c>
      <c r="P19" s="24"/>
    </row>
    <row r="20" spans="1:16" x14ac:dyDescent="0.3">
      <c r="A20" t="s">
        <v>15</v>
      </c>
      <c r="B20" t="s">
        <v>65</v>
      </c>
      <c r="C20">
        <v>450</v>
      </c>
      <c r="D20">
        <v>750</v>
      </c>
      <c r="E20">
        <f t="shared" si="0"/>
        <v>337500</v>
      </c>
      <c r="F20">
        <v>34</v>
      </c>
      <c r="G20">
        <v>6</v>
      </c>
      <c r="H20" s="1">
        <f t="shared" si="1"/>
        <v>2.0547945205479454</v>
      </c>
      <c r="I20" s="2">
        <f t="shared" si="2"/>
        <v>12.328767123287673</v>
      </c>
      <c r="J20" t="str">
        <f t="shared" si="3"/>
        <v>OK</v>
      </c>
      <c r="K20">
        <f t="shared" si="6"/>
        <v>23643000</v>
      </c>
      <c r="L20" s="5">
        <f t="shared" si="4"/>
        <v>0.86261246470086028</v>
      </c>
      <c r="M20" t="str">
        <f t="shared" si="5"/>
        <v>B</v>
      </c>
      <c r="O20" s="17" t="s">
        <v>130</v>
      </c>
      <c r="P20" s="17"/>
    </row>
    <row r="21" spans="1:16" x14ac:dyDescent="0.3">
      <c r="A21" t="s">
        <v>49</v>
      </c>
      <c r="B21" t="s">
        <v>99</v>
      </c>
      <c r="C21">
        <v>80</v>
      </c>
      <c r="D21">
        <v>4000</v>
      </c>
      <c r="E21">
        <f t="shared" si="0"/>
        <v>320000</v>
      </c>
      <c r="F21">
        <v>20</v>
      </c>
      <c r="G21">
        <v>3</v>
      </c>
      <c r="H21" s="1">
        <f t="shared" si="1"/>
        <v>10.95890410958904</v>
      </c>
      <c r="I21" s="2">
        <f t="shared" si="2"/>
        <v>32.87671232876712</v>
      </c>
      <c r="J21" t="str">
        <f t="shared" si="3"/>
        <v>REORDER</v>
      </c>
      <c r="K21">
        <f t="shared" si="6"/>
        <v>23963000</v>
      </c>
      <c r="L21" s="5">
        <f t="shared" si="4"/>
        <v>0.87428763234897078</v>
      </c>
      <c r="M21" t="str">
        <f t="shared" si="5"/>
        <v>B</v>
      </c>
      <c r="O21" s="18" t="s">
        <v>131</v>
      </c>
      <c r="P21" s="18"/>
    </row>
    <row r="22" spans="1:16" x14ac:dyDescent="0.3">
      <c r="A22" t="s">
        <v>42</v>
      </c>
      <c r="B22" t="s">
        <v>92</v>
      </c>
      <c r="C22">
        <v>150</v>
      </c>
      <c r="D22">
        <v>2000</v>
      </c>
      <c r="E22">
        <f t="shared" si="0"/>
        <v>300000</v>
      </c>
      <c r="F22">
        <v>29</v>
      </c>
      <c r="G22">
        <v>9</v>
      </c>
      <c r="H22" s="1">
        <f t="shared" si="1"/>
        <v>5.4794520547945202</v>
      </c>
      <c r="I22" s="2">
        <f t="shared" si="2"/>
        <v>49.315068493150683</v>
      </c>
      <c r="J22" t="str">
        <f t="shared" si="3"/>
        <v>REORDER</v>
      </c>
      <c r="K22">
        <f t="shared" si="6"/>
        <v>24263000</v>
      </c>
      <c r="L22" s="5">
        <f t="shared" si="4"/>
        <v>0.88523310201907435</v>
      </c>
      <c r="M22" t="str">
        <f t="shared" si="5"/>
        <v>B</v>
      </c>
      <c r="O22" s="19" t="s">
        <v>132</v>
      </c>
      <c r="P22" s="19"/>
    </row>
    <row r="23" spans="1:16" x14ac:dyDescent="0.3">
      <c r="A23" t="s">
        <v>39</v>
      </c>
      <c r="B23" t="s">
        <v>89</v>
      </c>
      <c r="C23">
        <v>250</v>
      </c>
      <c r="D23">
        <v>1050</v>
      </c>
      <c r="E23">
        <f t="shared" si="0"/>
        <v>262500</v>
      </c>
      <c r="F23">
        <v>54</v>
      </c>
      <c r="G23">
        <v>4</v>
      </c>
      <c r="H23" s="1">
        <f t="shared" si="1"/>
        <v>2.8767123287671232</v>
      </c>
      <c r="I23" s="2">
        <f t="shared" si="2"/>
        <v>11.506849315068493</v>
      </c>
      <c r="J23" t="str">
        <f t="shared" si="3"/>
        <v>OK</v>
      </c>
      <c r="K23">
        <f t="shared" si="6"/>
        <v>24525500</v>
      </c>
      <c r="L23" s="5">
        <f t="shared" si="4"/>
        <v>0.8948103879804149</v>
      </c>
      <c r="M23" t="str">
        <f t="shared" si="5"/>
        <v>B</v>
      </c>
    </row>
    <row r="24" spans="1:16" x14ac:dyDescent="0.3">
      <c r="A24" t="s">
        <v>58</v>
      </c>
      <c r="B24" t="s">
        <v>108</v>
      </c>
      <c r="C24">
        <v>95</v>
      </c>
      <c r="D24">
        <v>2500</v>
      </c>
      <c r="E24">
        <f t="shared" si="0"/>
        <v>237500</v>
      </c>
      <c r="F24">
        <v>5</v>
      </c>
      <c r="G24">
        <v>9</v>
      </c>
      <c r="H24" s="1">
        <f t="shared" si="1"/>
        <v>6.8493150684931505</v>
      </c>
      <c r="I24" s="2">
        <f t="shared" si="2"/>
        <v>61.643835616438352</v>
      </c>
      <c r="J24" t="str">
        <f t="shared" si="3"/>
        <v>REORDER</v>
      </c>
      <c r="K24">
        <f t="shared" si="6"/>
        <v>24763000</v>
      </c>
      <c r="L24" s="5">
        <f t="shared" si="4"/>
        <v>0.90347555146924685</v>
      </c>
      <c r="M24" t="str">
        <f t="shared" si="5"/>
        <v>C</v>
      </c>
    </row>
    <row r="25" spans="1:16" x14ac:dyDescent="0.3">
      <c r="A25" t="s">
        <v>45</v>
      </c>
      <c r="B25" t="s">
        <v>95</v>
      </c>
      <c r="C25">
        <v>170</v>
      </c>
      <c r="D25">
        <v>1300</v>
      </c>
      <c r="E25">
        <f t="shared" si="0"/>
        <v>221000</v>
      </c>
      <c r="F25">
        <v>48</v>
      </c>
      <c r="G25">
        <v>9</v>
      </c>
      <c r="H25" s="1">
        <f t="shared" si="1"/>
        <v>3.5616438356164384</v>
      </c>
      <c r="I25" s="2">
        <f t="shared" si="2"/>
        <v>32.054794520547944</v>
      </c>
      <c r="J25" t="str">
        <f t="shared" si="3"/>
        <v>OK</v>
      </c>
      <c r="K25">
        <f t="shared" si="6"/>
        <v>24984000</v>
      </c>
      <c r="L25" s="5">
        <f t="shared" si="4"/>
        <v>0.91153871412622312</v>
      </c>
      <c r="M25" t="str">
        <f t="shared" si="5"/>
        <v>C</v>
      </c>
    </row>
    <row r="26" spans="1:16" x14ac:dyDescent="0.3">
      <c r="A26" t="s">
        <v>55</v>
      </c>
      <c r="B26" t="s">
        <v>105</v>
      </c>
      <c r="C26">
        <v>53</v>
      </c>
      <c r="D26">
        <v>3500</v>
      </c>
      <c r="E26">
        <f t="shared" si="0"/>
        <v>185500</v>
      </c>
      <c r="F26">
        <v>60</v>
      </c>
      <c r="G26">
        <v>4</v>
      </c>
      <c r="H26" s="1">
        <f t="shared" si="1"/>
        <v>9.5890410958904102</v>
      </c>
      <c r="I26" s="2">
        <f t="shared" si="2"/>
        <v>38.356164383561641</v>
      </c>
      <c r="J26" t="str">
        <f t="shared" si="3"/>
        <v>OK</v>
      </c>
      <c r="K26">
        <f t="shared" si="6"/>
        <v>25169500</v>
      </c>
      <c r="L26" s="5">
        <f t="shared" si="4"/>
        <v>0.91830666287223717</v>
      </c>
      <c r="M26" t="str">
        <f t="shared" si="5"/>
        <v>C</v>
      </c>
      <c r="O26" s="11"/>
    </row>
    <row r="27" spans="1:16" x14ac:dyDescent="0.3">
      <c r="A27" t="s">
        <v>28</v>
      </c>
      <c r="B27" t="s">
        <v>78</v>
      </c>
      <c r="C27">
        <v>40</v>
      </c>
      <c r="D27">
        <v>4500</v>
      </c>
      <c r="E27">
        <f t="shared" si="0"/>
        <v>180000</v>
      </c>
      <c r="F27">
        <v>45</v>
      </c>
      <c r="G27">
        <v>6</v>
      </c>
      <c r="H27" s="1">
        <f t="shared" si="1"/>
        <v>12.328767123287671</v>
      </c>
      <c r="I27" s="2">
        <f t="shared" si="2"/>
        <v>73.972602739726028</v>
      </c>
      <c r="J27" t="str">
        <f t="shared" si="3"/>
        <v>REORDER</v>
      </c>
      <c r="K27">
        <f t="shared" si="6"/>
        <v>25349500</v>
      </c>
      <c r="L27" s="5">
        <f t="shared" si="4"/>
        <v>0.92487394467429929</v>
      </c>
      <c r="M27" t="str">
        <f t="shared" si="5"/>
        <v>C</v>
      </c>
    </row>
    <row r="28" spans="1:16" x14ac:dyDescent="0.3">
      <c r="A28" t="s">
        <v>24</v>
      </c>
      <c r="B28" t="s">
        <v>74</v>
      </c>
      <c r="C28">
        <v>70</v>
      </c>
      <c r="D28">
        <v>2500</v>
      </c>
      <c r="E28">
        <f t="shared" si="0"/>
        <v>175000</v>
      </c>
      <c r="F28">
        <v>14</v>
      </c>
      <c r="G28">
        <v>3</v>
      </c>
      <c r="H28" s="1">
        <f t="shared" si="1"/>
        <v>6.8493150684931505</v>
      </c>
      <c r="I28" s="2">
        <f t="shared" si="2"/>
        <v>20.547945205479451</v>
      </c>
      <c r="J28" t="str">
        <f t="shared" si="3"/>
        <v>REORDER</v>
      </c>
      <c r="K28">
        <f t="shared" si="6"/>
        <v>25524500</v>
      </c>
      <c r="L28" s="5">
        <f t="shared" si="4"/>
        <v>0.93125880198185973</v>
      </c>
      <c r="M28" t="str">
        <f t="shared" si="5"/>
        <v>C</v>
      </c>
    </row>
    <row r="29" spans="1:16" x14ac:dyDescent="0.3">
      <c r="A29" t="s">
        <v>16</v>
      </c>
      <c r="B29" t="s">
        <v>66</v>
      </c>
      <c r="C29">
        <v>320</v>
      </c>
      <c r="D29">
        <v>450</v>
      </c>
      <c r="E29">
        <f t="shared" si="0"/>
        <v>144000</v>
      </c>
      <c r="F29">
        <v>20</v>
      </c>
      <c r="G29">
        <v>3</v>
      </c>
      <c r="H29" s="1">
        <f t="shared" si="1"/>
        <v>1.2328767123287672</v>
      </c>
      <c r="I29" s="2">
        <f t="shared" si="2"/>
        <v>3.6986301369863015</v>
      </c>
      <c r="J29" t="str">
        <f t="shared" si="3"/>
        <v>OK</v>
      </c>
      <c r="K29">
        <f t="shared" si="6"/>
        <v>25668500</v>
      </c>
      <c r="L29" s="5">
        <f t="shared" si="4"/>
        <v>0.93651262742350938</v>
      </c>
      <c r="M29" t="str">
        <f t="shared" si="5"/>
        <v>C</v>
      </c>
    </row>
    <row r="30" spans="1:16" x14ac:dyDescent="0.3">
      <c r="A30" t="s">
        <v>52</v>
      </c>
      <c r="B30" t="s">
        <v>102</v>
      </c>
      <c r="C30">
        <v>120</v>
      </c>
      <c r="D30">
        <v>1200</v>
      </c>
      <c r="E30">
        <f t="shared" si="0"/>
        <v>144000</v>
      </c>
      <c r="F30">
        <v>45</v>
      </c>
      <c r="G30">
        <v>1</v>
      </c>
      <c r="H30" s="1">
        <f t="shared" si="1"/>
        <v>3.2876712328767121</v>
      </c>
      <c r="I30" s="2">
        <f t="shared" si="2"/>
        <v>3.2876712328767121</v>
      </c>
      <c r="J30" t="str">
        <f t="shared" si="3"/>
        <v>OK</v>
      </c>
      <c r="K30">
        <f t="shared" si="6"/>
        <v>25812500</v>
      </c>
      <c r="L30" s="5">
        <f t="shared" si="4"/>
        <v>0.94176645286515914</v>
      </c>
      <c r="M30" t="str">
        <f t="shared" si="5"/>
        <v>C</v>
      </c>
    </row>
    <row r="31" spans="1:16" x14ac:dyDescent="0.3">
      <c r="A31" t="s">
        <v>57</v>
      </c>
      <c r="B31" t="s">
        <v>107</v>
      </c>
      <c r="C31">
        <v>310</v>
      </c>
      <c r="D31">
        <v>450</v>
      </c>
      <c r="E31">
        <f t="shared" si="0"/>
        <v>139500</v>
      </c>
      <c r="F31">
        <v>25</v>
      </c>
      <c r="G31">
        <v>8</v>
      </c>
      <c r="H31" s="1">
        <f t="shared" si="1"/>
        <v>1.2328767123287672</v>
      </c>
      <c r="I31" s="2">
        <f t="shared" si="2"/>
        <v>9.8630136986301373</v>
      </c>
      <c r="J31" t="str">
        <f t="shared" si="3"/>
        <v>OK</v>
      </c>
      <c r="K31">
        <f t="shared" si="6"/>
        <v>25952000</v>
      </c>
      <c r="L31" s="5">
        <f t="shared" si="4"/>
        <v>0.94685609626175726</v>
      </c>
      <c r="M31" t="str">
        <f t="shared" si="5"/>
        <v>C</v>
      </c>
    </row>
    <row r="32" spans="1:16" x14ac:dyDescent="0.3">
      <c r="A32" t="s">
        <v>38</v>
      </c>
      <c r="B32" t="s">
        <v>88</v>
      </c>
      <c r="C32">
        <v>25</v>
      </c>
      <c r="D32">
        <v>5500</v>
      </c>
      <c r="E32">
        <f t="shared" si="0"/>
        <v>137500</v>
      </c>
      <c r="F32">
        <v>60</v>
      </c>
      <c r="G32">
        <v>8</v>
      </c>
      <c r="H32" s="1">
        <f t="shared" si="1"/>
        <v>15.068493150684931</v>
      </c>
      <c r="I32" s="2">
        <f t="shared" si="2"/>
        <v>120.54794520547945</v>
      </c>
      <c r="J32" t="str">
        <f t="shared" si="3"/>
        <v>REORDER</v>
      </c>
      <c r="K32">
        <f t="shared" si="6"/>
        <v>26089500</v>
      </c>
      <c r="L32" s="5">
        <f t="shared" si="4"/>
        <v>0.95187276986055469</v>
      </c>
      <c r="M32" t="str">
        <f t="shared" si="5"/>
        <v>C</v>
      </c>
    </row>
    <row r="33" spans="1:13" x14ac:dyDescent="0.3">
      <c r="A33" t="s">
        <v>18</v>
      </c>
      <c r="B33" t="s">
        <v>68</v>
      </c>
      <c r="C33">
        <v>35</v>
      </c>
      <c r="D33">
        <v>3500</v>
      </c>
      <c r="E33">
        <f t="shared" si="0"/>
        <v>122500</v>
      </c>
      <c r="F33">
        <v>50</v>
      </c>
      <c r="G33">
        <v>6</v>
      </c>
      <c r="H33" s="1">
        <f t="shared" si="1"/>
        <v>9.5890410958904102</v>
      </c>
      <c r="I33" s="2">
        <f t="shared" si="2"/>
        <v>57.534246575342465</v>
      </c>
      <c r="J33" t="str">
        <f t="shared" si="3"/>
        <v>REORDER</v>
      </c>
      <c r="K33">
        <f t="shared" si="6"/>
        <v>26212000</v>
      </c>
      <c r="L33" s="5">
        <f t="shared" si="4"/>
        <v>0.95634216997584698</v>
      </c>
      <c r="M33" t="str">
        <f t="shared" si="5"/>
        <v>C</v>
      </c>
    </row>
    <row r="34" spans="1:13" x14ac:dyDescent="0.3">
      <c r="A34" t="s">
        <v>31</v>
      </c>
      <c r="B34" t="s">
        <v>81</v>
      </c>
      <c r="C34">
        <v>60</v>
      </c>
      <c r="D34">
        <v>2000</v>
      </c>
      <c r="E34">
        <f t="shared" si="0"/>
        <v>120000</v>
      </c>
      <c r="F34">
        <v>50</v>
      </c>
      <c r="G34">
        <v>3</v>
      </c>
      <c r="H34" s="1">
        <f t="shared" si="1"/>
        <v>5.4794520547945202</v>
      </c>
      <c r="I34" s="2">
        <f t="shared" si="2"/>
        <v>16.43835616438356</v>
      </c>
      <c r="J34" t="str">
        <f t="shared" si="3"/>
        <v>OK</v>
      </c>
      <c r="K34">
        <f t="shared" si="6"/>
        <v>26332000</v>
      </c>
      <c r="L34" s="5">
        <f t="shared" si="4"/>
        <v>0.96072035784388843</v>
      </c>
      <c r="M34" t="str">
        <f t="shared" si="5"/>
        <v>C</v>
      </c>
    </row>
    <row r="35" spans="1:13" x14ac:dyDescent="0.3">
      <c r="A35" t="s">
        <v>54</v>
      </c>
      <c r="B35" t="s">
        <v>104</v>
      </c>
      <c r="C35">
        <v>90</v>
      </c>
      <c r="D35">
        <v>1300</v>
      </c>
      <c r="E35">
        <f t="shared" ref="E35:E66" si="7">C35*D35</f>
        <v>117000</v>
      </c>
      <c r="F35">
        <v>57</v>
      </c>
      <c r="G35">
        <v>1</v>
      </c>
      <c r="H35" s="1">
        <f t="shared" ref="H35:H52" si="8">D35/365</f>
        <v>3.5616438356164384</v>
      </c>
      <c r="I35" s="2">
        <f t="shared" ref="I35:I66" si="9">H35*G35</f>
        <v>3.5616438356164384</v>
      </c>
      <c r="J35" t="str">
        <f t="shared" ref="J35:J66" si="10">IF(F35&lt;=I35,"REORDER","OK")</f>
        <v>OK</v>
      </c>
      <c r="K35">
        <f t="shared" si="6"/>
        <v>26449000</v>
      </c>
      <c r="L35" s="5">
        <f t="shared" si="4"/>
        <v>0.96498909101522878</v>
      </c>
      <c r="M35" t="str">
        <f t="shared" si="5"/>
        <v>C</v>
      </c>
    </row>
    <row r="36" spans="1:13" x14ac:dyDescent="0.3">
      <c r="A36" t="s">
        <v>50</v>
      </c>
      <c r="B36" t="s">
        <v>100</v>
      </c>
      <c r="C36">
        <v>85</v>
      </c>
      <c r="D36">
        <v>1200</v>
      </c>
      <c r="E36">
        <f t="shared" si="7"/>
        <v>102000</v>
      </c>
      <c r="F36">
        <v>23</v>
      </c>
      <c r="G36">
        <v>2</v>
      </c>
      <c r="H36" s="1">
        <f t="shared" si="8"/>
        <v>3.2876712328767121</v>
      </c>
      <c r="I36" s="2">
        <f t="shared" si="9"/>
        <v>6.5753424657534243</v>
      </c>
      <c r="J36" t="str">
        <f t="shared" si="10"/>
        <v>OK</v>
      </c>
      <c r="K36">
        <f t="shared" si="6"/>
        <v>26551000</v>
      </c>
      <c r="L36" s="5">
        <f t="shared" si="4"/>
        <v>0.968710550703064</v>
      </c>
      <c r="M36" t="str">
        <f t="shared" si="5"/>
        <v>C</v>
      </c>
    </row>
    <row r="37" spans="1:13" x14ac:dyDescent="0.3">
      <c r="A37" t="s">
        <v>25</v>
      </c>
      <c r="B37" t="s">
        <v>75</v>
      </c>
      <c r="C37">
        <v>25</v>
      </c>
      <c r="D37">
        <v>4000</v>
      </c>
      <c r="E37">
        <f t="shared" si="7"/>
        <v>100000</v>
      </c>
      <c r="F37">
        <v>6</v>
      </c>
      <c r="G37">
        <v>1</v>
      </c>
      <c r="H37" s="1">
        <f t="shared" si="8"/>
        <v>10.95890410958904</v>
      </c>
      <c r="I37" s="2">
        <f t="shared" si="9"/>
        <v>10.95890410958904</v>
      </c>
      <c r="J37" t="str">
        <f t="shared" si="10"/>
        <v>REORDER</v>
      </c>
      <c r="K37">
        <f t="shared" si="6"/>
        <v>26651000</v>
      </c>
      <c r="L37" s="5">
        <f t="shared" si="4"/>
        <v>0.97235904059309852</v>
      </c>
      <c r="M37" t="str">
        <f t="shared" si="5"/>
        <v>C</v>
      </c>
    </row>
    <row r="38" spans="1:13" x14ac:dyDescent="0.3">
      <c r="A38" t="s">
        <v>30</v>
      </c>
      <c r="B38" t="s">
        <v>80</v>
      </c>
      <c r="C38">
        <v>300</v>
      </c>
      <c r="D38">
        <v>300</v>
      </c>
      <c r="E38">
        <f t="shared" si="7"/>
        <v>90000</v>
      </c>
      <c r="F38">
        <v>55</v>
      </c>
      <c r="G38">
        <v>9</v>
      </c>
      <c r="H38" s="1">
        <f t="shared" si="8"/>
        <v>0.82191780821917804</v>
      </c>
      <c r="I38" s="2">
        <f t="shared" si="9"/>
        <v>7.3972602739726021</v>
      </c>
      <c r="J38" t="str">
        <f t="shared" si="10"/>
        <v>OK</v>
      </c>
      <c r="K38">
        <f t="shared" si="6"/>
        <v>26741000</v>
      </c>
      <c r="L38" s="5">
        <f t="shared" si="4"/>
        <v>0.97564268149412958</v>
      </c>
      <c r="M38" t="str">
        <f t="shared" si="5"/>
        <v>C</v>
      </c>
    </row>
    <row r="39" spans="1:13" x14ac:dyDescent="0.3">
      <c r="A39" t="s">
        <v>56</v>
      </c>
      <c r="B39" t="s">
        <v>106</v>
      </c>
      <c r="C39">
        <v>30</v>
      </c>
      <c r="D39">
        <v>3000</v>
      </c>
      <c r="E39">
        <f t="shared" si="7"/>
        <v>90000</v>
      </c>
      <c r="F39">
        <v>35</v>
      </c>
      <c r="G39">
        <v>5</v>
      </c>
      <c r="H39" s="1">
        <f t="shared" si="8"/>
        <v>8.2191780821917817</v>
      </c>
      <c r="I39" s="2">
        <f t="shared" si="9"/>
        <v>41.095890410958908</v>
      </c>
      <c r="J39" t="str">
        <f t="shared" si="10"/>
        <v>REORDER</v>
      </c>
      <c r="K39">
        <f t="shared" si="6"/>
        <v>26831000</v>
      </c>
      <c r="L39" s="5">
        <f t="shared" si="4"/>
        <v>0.97892632239516064</v>
      </c>
      <c r="M39" t="str">
        <f t="shared" si="5"/>
        <v>C</v>
      </c>
    </row>
    <row r="40" spans="1:13" x14ac:dyDescent="0.3">
      <c r="A40" t="s">
        <v>51</v>
      </c>
      <c r="B40" t="s">
        <v>101</v>
      </c>
      <c r="C40">
        <v>50</v>
      </c>
      <c r="D40">
        <v>1600</v>
      </c>
      <c r="E40">
        <f t="shared" si="7"/>
        <v>80000</v>
      </c>
      <c r="F40">
        <v>55</v>
      </c>
      <c r="G40">
        <v>1</v>
      </c>
      <c r="H40" s="1">
        <f t="shared" si="8"/>
        <v>4.3835616438356162</v>
      </c>
      <c r="I40" s="2">
        <f t="shared" si="9"/>
        <v>4.3835616438356162</v>
      </c>
      <c r="J40" t="str">
        <f t="shared" si="10"/>
        <v>OK</v>
      </c>
      <c r="K40">
        <f t="shared" si="6"/>
        <v>26911000</v>
      </c>
      <c r="L40" s="5">
        <f t="shared" si="4"/>
        <v>0.98184511430718824</v>
      </c>
      <c r="M40" t="str">
        <f t="shared" si="5"/>
        <v>C</v>
      </c>
    </row>
    <row r="41" spans="1:13" x14ac:dyDescent="0.3">
      <c r="A41" t="s">
        <v>36</v>
      </c>
      <c r="B41" t="s">
        <v>86</v>
      </c>
      <c r="C41">
        <v>80</v>
      </c>
      <c r="D41">
        <v>900</v>
      </c>
      <c r="E41">
        <f t="shared" si="7"/>
        <v>72000</v>
      </c>
      <c r="F41">
        <v>7</v>
      </c>
      <c r="G41">
        <v>4</v>
      </c>
      <c r="H41" s="1">
        <f t="shared" si="8"/>
        <v>2.4657534246575343</v>
      </c>
      <c r="I41" s="2">
        <f t="shared" si="9"/>
        <v>9.8630136986301373</v>
      </c>
      <c r="J41" t="str">
        <f t="shared" si="10"/>
        <v>REORDER</v>
      </c>
      <c r="K41">
        <f t="shared" si="6"/>
        <v>26983000</v>
      </c>
      <c r="L41" s="5">
        <f t="shared" si="4"/>
        <v>0.98447202702801306</v>
      </c>
      <c r="M41" t="str">
        <f t="shared" si="5"/>
        <v>C</v>
      </c>
    </row>
    <row r="42" spans="1:13" x14ac:dyDescent="0.3">
      <c r="A42" t="s">
        <v>32</v>
      </c>
      <c r="B42" t="s">
        <v>82</v>
      </c>
      <c r="C42">
        <v>75</v>
      </c>
      <c r="D42">
        <v>900</v>
      </c>
      <c r="E42">
        <f t="shared" si="7"/>
        <v>67500</v>
      </c>
      <c r="F42">
        <v>35</v>
      </c>
      <c r="G42">
        <v>6</v>
      </c>
      <c r="H42" s="1">
        <f t="shared" si="8"/>
        <v>2.4657534246575343</v>
      </c>
      <c r="I42" s="2">
        <f t="shared" si="9"/>
        <v>14.794520547945206</v>
      </c>
      <c r="J42" t="str">
        <f t="shared" si="10"/>
        <v>OK</v>
      </c>
      <c r="K42">
        <f t="shared" si="6"/>
        <v>27050500</v>
      </c>
      <c r="L42" s="5">
        <f t="shared" si="4"/>
        <v>0.98693475770378636</v>
      </c>
      <c r="M42" t="str">
        <f t="shared" si="5"/>
        <v>C</v>
      </c>
    </row>
    <row r="43" spans="1:13" x14ac:dyDescent="0.3">
      <c r="A43" t="s">
        <v>22</v>
      </c>
      <c r="B43" t="s">
        <v>72</v>
      </c>
      <c r="C43">
        <v>55</v>
      </c>
      <c r="D43">
        <v>1200</v>
      </c>
      <c r="E43">
        <f t="shared" si="7"/>
        <v>66000</v>
      </c>
      <c r="F43">
        <v>32</v>
      </c>
      <c r="G43">
        <v>9</v>
      </c>
      <c r="H43" s="1">
        <f t="shared" si="8"/>
        <v>3.2876712328767121</v>
      </c>
      <c r="I43" s="2">
        <f t="shared" si="9"/>
        <v>29.589041095890408</v>
      </c>
      <c r="J43" t="str">
        <f t="shared" si="10"/>
        <v>OK</v>
      </c>
      <c r="K43">
        <f t="shared" si="6"/>
        <v>27116500</v>
      </c>
      <c r="L43" s="5">
        <f t="shared" si="4"/>
        <v>0.98934276103120922</v>
      </c>
      <c r="M43" t="str">
        <f t="shared" si="5"/>
        <v>C</v>
      </c>
    </row>
    <row r="44" spans="1:13" x14ac:dyDescent="0.3">
      <c r="A44" t="s">
        <v>21</v>
      </c>
      <c r="B44" t="s">
        <v>71</v>
      </c>
      <c r="C44">
        <v>160</v>
      </c>
      <c r="D44">
        <v>350</v>
      </c>
      <c r="E44">
        <f t="shared" si="7"/>
        <v>56000</v>
      </c>
      <c r="F44">
        <v>40</v>
      </c>
      <c r="G44">
        <v>3</v>
      </c>
      <c r="H44" s="1">
        <f t="shared" si="8"/>
        <v>0.95890410958904104</v>
      </c>
      <c r="I44" s="2">
        <f t="shared" si="9"/>
        <v>2.8767123287671232</v>
      </c>
      <c r="J44" t="str">
        <f t="shared" si="10"/>
        <v>OK</v>
      </c>
      <c r="K44">
        <f t="shared" si="6"/>
        <v>27172500</v>
      </c>
      <c r="L44" s="5">
        <f t="shared" si="4"/>
        <v>0.9913859153696285</v>
      </c>
      <c r="M44" t="str">
        <f t="shared" si="5"/>
        <v>C</v>
      </c>
    </row>
    <row r="45" spans="1:13" x14ac:dyDescent="0.3">
      <c r="A45" t="s">
        <v>63</v>
      </c>
      <c r="B45" t="s">
        <v>113</v>
      </c>
      <c r="C45">
        <v>43</v>
      </c>
      <c r="D45">
        <v>1200</v>
      </c>
      <c r="E45">
        <f t="shared" si="7"/>
        <v>51600</v>
      </c>
      <c r="F45">
        <v>40</v>
      </c>
      <c r="G45">
        <v>5</v>
      </c>
      <c r="H45" s="1">
        <f t="shared" si="8"/>
        <v>3.2876712328767121</v>
      </c>
      <c r="I45" s="2">
        <f t="shared" si="9"/>
        <v>16.43835616438356</v>
      </c>
      <c r="J45" t="str">
        <f t="shared" si="10"/>
        <v>OK</v>
      </c>
      <c r="K45">
        <f t="shared" si="6"/>
        <v>27224100</v>
      </c>
      <c r="L45" s="5">
        <f t="shared" si="4"/>
        <v>0.99326853615288635</v>
      </c>
      <c r="M45" t="str">
        <f t="shared" si="5"/>
        <v>C</v>
      </c>
    </row>
    <row r="46" spans="1:13" x14ac:dyDescent="0.3">
      <c r="A46" t="s">
        <v>44</v>
      </c>
      <c r="B46" t="s">
        <v>94</v>
      </c>
      <c r="C46">
        <v>45</v>
      </c>
      <c r="D46">
        <v>1000</v>
      </c>
      <c r="E46">
        <f t="shared" si="7"/>
        <v>45000</v>
      </c>
      <c r="F46">
        <v>60</v>
      </c>
      <c r="G46">
        <v>2</v>
      </c>
      <c r="H46" s="1">
        <f t="shared" si="8"/>
        <v>2.7397260273972601</v>
      </c>
      <c r="I46" s="2">
        <f t="shared" si="9"/>
        <v>5.4794520547945202</v>
      </c>
      <c r="J46" t="str">
        <f t="shared" si="10"/>
        <v>OK</v>
      </c>
      <c r="K46">
        <f t="shared" si="6"/>
        <v>27269100</v>
      </c>
      <c r="L46" s="5">
        <f t="shared" si="4"/>
        <v>0.99491035660340188</v>
      </c>
      <c r="M46" t="str">
        <f t="shared" si="5"/>
        <v>C</v>
      </c>
    </row>
    <row r="47" spans="1:13" x14ac:dyDescent="0.3">
      <c r="A47" t="s">
        <v>46</v>
      </c>
      <c r="B47" t="s">
        <v>96</v>
      </c>
      <c r="C47">
        <v>30</v>
      </c>
      <c r="D47">
        <v>1500</v>
      </c>
      <c r="E47">
        <f t="shared" si="7"/>
        <v>45000</v>
      </c>
      <c r="F47">
        <v>36</v>
      </c>
      <c r="G47">
        <v>6</v>
      </c>
      <c r="H47" s="1">
        <f t="shared" si="8"/>
        <v>4.1095890410958908</v>
      </c>
      <c r="I47" s="2">
        <f t="shared" si="9"/>
        <v>24.657534246575345</v>
      </c>
      <c r="J47" t="str">
        <f t="shared" si="10"/>
        <v>OK</v>
      </c>
      <c r="K47">
        <f t="shared" si="6"/>
        <v>27314100</v>
      </c>
      <c r="L47" s="5">
        <f t="shared" si="4"/>
        <v>0.99655217705391741</v>
      </c>
      <c r="M47" t="str">
        <f t="shared" si="5"/>
        <v>C</v>
      </c>
    </row>
    <row r="48" spans="1:13" x14ac:dyDescent="0.3">
      <c r="A48" t="s">
        <v>40</v>
      </c>
      <c r="B48" t="s">
        <v>90</v>
      </c>
      <c r="C48">
        <v>70</v>
      </c>
      <c r="D48">
        <v>450</v>
      </c>
      <c r="E48">
        <f t="shared" si="7"/>
        <v>31500</v>
      </c>
      <c r="F48">
        <v>40</v>
      </c>
      <c r="G48">
        <v>8</v>
      </c>
      <c r="H48" s="1">
        <f t="shared" si="8"/>
        <v>1.2328767123287672</v>
      </c>
      <c r="I48" s="2">
        <f t="shared" si="9"/>
        <v>9.8630136986301373</v>
      </c>
      <c r="J48" t="str">
        <f t="shared" si="10"/>
        <v>OK</v>
      </c>
      <c r="K48">
        <f t="shared" si="6"/>
        <v>27345600</v>
      </c>
      <c r="L48" s="5">
        <f t="shared" si="4"/>
        <v>0.99770145136927824</v>
      </c>
      <c r="M48" t="str">
        <f t="shared" si="5"/>
        <v>C</v>
      </c>
    </row>
    <row r="49" spans="1:13" x14ac:dyDescent="0.3">
      <c r="A49" t="s">
        <v>33</v>
      </c>
      <c r="B49" t="s">
        <v>83</v>
      </c>
      <c r="C49">
        <v>20</v>
      </c>
      <c r="D49">
        <v>1300</v>
      </c>
      <c r="E49">
        <f t="shared" si="7"/>
        <v>26000</v>
      </c>
      <c r="F49">
        <v>40</v>
      </c>
      <c r="G49">
        <v>3</v>
      </c>
      <c r="H49" s="1">
        <f t="shared" si="8"/>
        <v>3.5616438356164384</v>
      </c>
      <c r="I49" s="2">
        <f t="shared" si="9"/>
        <v>10.684931506849315</v>
      </c>
      <c r="J49" t="str">
        <f t="shared" si="10"/>
        <v>OK</v>
      </c>
      <c r="K49">
        <f t="shared" si="6"/>
        <v>27371600</v>
      </c>
      <c r="L49" s="5">
        <f t="shared" si="4"/>
        <v>0.99865005874068724</v>
      </c>
      <c r="M49" t="str">
        <f t="shared" si="5"/>
        <v>C</v>
      </c>
    </row>
    <row r="50" spans="1:13" x14ac:dyDescent="0.3">
      <c r="A50" t="s">
        <v>29</v>
      </c>
      <c r="B50" t="s">
        <v>79</v>
      </c>
      <c r="C50">
        <v>30</v>
      </c>
      <c r="D50">
        <v>500</v>
      </c>
      <c r="E50">
        <f t="shared" si="7"/>
        <v>15000</v>
      </c>
      <c r="F50">
        <v>58</v>
      </c>
      <c r="G50">
        <v>9</v>
      </c>
      <c r="H50" s="1">
        <f t="shared" si="8"/>
        <v>1.3698630136986301</v>
      </c>
      <c r="I50" s="2">
        <f t="shared" si="9"/>
        <v>12.328767123287671</v>
      </c>
      <c r="J50" t="str">
        <f t="shared" si="10"/>
        <v>OK</v>
      </c>
      <c r="K50">
        <f t="shared" si="6"/>
        <v>27386600</v>
      </c>
      <c r="L50" s="5">
        <f t="shared" si="4"/>
        <v>0.99919733222419238</v>
      </c>
      <c r="M50" t="str">
        <f t="shared" si="5"/>
        <v>C</v>
      </c>
    </row>
    <row r="51" spans="1:13" x14ac:dyDescent="0.3">
      <c r="A51" t="s">
        <v>59</v>
      </c>
      <c r="B51" t="s">
        <v>109</v>
      </c>
      <c r="C51">
        <v>15</v>
      </c>
      <c r="D51">
        <v>800</v>
      </c>
      <c r="E51">
        <f t="shared" si="7"/>
        <v>12000</v>
      </c>
      <c r="F51">
        <v>60</v>
      </c>
      <c r="G51">
        <v>7</v>
      </c>
      <c r="H51" s="1">
        <f t="shared" si="8"/>
        <v>2.1917808219178081</v>
      </c>
      <c r="I51" s="2">
        <f t="shared" si="9"/>
        <v>15.342465753424657</v>
      </c>
      <c r="J51" t="str">
        <f t="shared" si="10"/>
        <v>OK</v>
      </c>
      <c r="K51">
        <f t="shared" si="6"/>
        <v>27398600</v>
      </c>
      <c r="L51" s="5">
        <f t="shared" si="4"/>
        <v>0.99963515101099654</v>
      </c>
      <c r="M51" t="str">
        <f t="shared" si="5"/>
        <v>C</v>
      </c>
    </row>
    <row r="52" spans="1:13" x14ac:dyDescent="0.3">
      <c r="A52" t="s">
        <v>62</v>
      </c>
      <c r="B52" t="s">
        <v>112</v>
      </c>
      <c r="C52">
        <v>10</v>
      </c>
      <c r="D52">
        <v>1000</v>
      </c>
      <c r="E52">
        <f t="shared" si="7"/>
        <v>10000</v>
      </c>
      <c r="F52">
        <v>51</v>
      </c>
      <c r="G52">
        <v>9</v>
      </c>
      <c r="H52" s="1">
        <f t="shared" si="8"/>
        <v>2.7397260273972601</v>
      </c>
      <c r="I52" s="2">
        <f t="shared" si="9"/>
        <v>24.657534246575342</v>
      </c>
      <c r="J52" t="str">
        <f t="shared" si="10"/>
        <v>OK</v>
      </c>
      <c r="K52">
        <f t="shared" si="6"/>
        <v>27408600</v>
      </c>
      <c r="L52" s="5">
        <f t="shared" si="4"/>
        <v>1</v>
      </c>
      <c r="M52" t="str">
        <f t="shared" si="5"/>
        <v>C</v>
      </c>
    </row>
    <row r="53" spans="1:13" x14ac:dyDescent="0.3">
      <c r="A53" s="20" t="s">
        <v>133</v>
      </c>
      <c r="B53" s="20"/>
      <c r="D53" s="16">
        <f>SUM(D3:D52)</f>
        <v>89850</v>
      </c>
      <c r="E53" s="16">
        <f>SUM(E3:E52)</f>
        <v>27408600</v>
      </c>
      <c r="L53" s="3"/>
    </row>
  </sheetData>
  <sortState xmlns:xlrd2="http://schemas.microsoft.com/office/spreadsheetml/2017/richdata2" ref="A2:L52">
    <sortCondition descending="1" ref="E2:E52"/>
  </sortState>
  <mergeCells count="10">
    <mergeCell ref="O20:P20"/>
    <mergeCell ref="O21:P21"/>
    <mergeCell ref="O22:P22"/>
    <mergeCell ref="A53:B53"/>
    <mergeCell ref="A1:M1"/>
    <mergeCell ref="O2:R2"/>
    <mergeCell ref="O9:P9"/>
    <mergeCell ref="O17:P17"/>
    <mergeCell ref="O19:P19"/>
    <mergeCell ref="O18:P18"/>
  </mergeCells>
  <phoneticPr fontId="4" type="noConversion"/>
  <conditionalFormatting sqref="J3:J52">
    <cfRule type="cellIs" dxfId="5" priority="1" operator="equal">
      <formula>"OK"</formula>
    </cfRule>
    <cfRule type="cellIs" dxfId="4" priority="2" operator="equal">
      <formula>"REORDER"</formula>
    </cfRule>
  </conditionalFormatting>
  <conditionalFormatting sqref="M3:M52">
    <cfRule type="expression" dxfId="3" priority="3">
      <formula>$M3="C"</formula>
    </cfRule>
    <cfRule type="expression" dxfId="2" priority="4">
      <formula>$M3="B"</formula>
    </cfRule>
    <cfRule type="expression" dxfId="1" priority="5">
      <formula>$M3="A"</formula>
    </cfRule>
    <cfRule type="expression" dxfId="0" priority="6">
      <formula>$A:M="A"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RAKIB KHAN</dc:creator>
  <cp:lastModifiedBy>RAKIB KHAN</cp:lastModifiedBy>
  <dcterms:created xsi:type="dcterms:W3CDTF">2026-08-04T14:10:16Z</dcterms:created>
  <dcterms:modified xsi:type="dcterms:W3CDTF">2026-08-04T19:02:30Z</dcterms:modified>
</cp:coreProperties>
</file>